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jennytsai/capstone_repo/Capstone/code/Jenny/processed_data/2018_2022/"/>
    </mc:Choice>
  </mc:AlternateContent>
  <xr:revisionPtr revIDLastSave="0" documentId="13_ncr:1_{E45F7ACB-4AA6-0A4D-A000-2FDAF1145D6D}" xr6:coauthVersionLast="47" xr6:coauthVersionMax="47" xr10:uidLastSave="{00000000-0000-0000-0000-000000000000}"/>
  <bookViews>
    <workbookView xWindow="1220" yWindow="500" windowWidth="27240" windowHeight="16940" xr2:uid="{00000000-000D-0000-FFFF-FFFF00000000}"/>
  </bookViews>
  <sheets>
    <sheet name="CABG_5yr_baseline_review" sheetId="1" r:id="rId1"/>
  </sheets>
  <definedNames>
    <definedName name="_xlnm._FilterDatabase" localSheetId="0" hidden="1">CABG_5yr_baseline_review!$A$1:$G$124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7" i="1"/>
  <c r="D8" i="1"/>
  <c r="D9" i="1"/>
  <c r="D12" i="1"/>
  <c r="D13" i="1"/>
  <c r="D16" i="1"/>
  <c r="D17" i="1"/>
  <c r="D18" i="1"/>
  <c r="D19" i="1"/>
  <c r="D22" i="1"/>
  <c r="D24" i="1"/>
  <c r="D25" i="1"/>
  <c r="D26" i="1"/>
  <c r="D27" i="1"/>
  <c r="D33" i="1"/>
  <c r="D34" i="1"/>
  <c r="D36" i="1"/>
  <c r="D38" i="1"/>
  <c r="D41" i="1"/>
  <c r="D42" i="1"/>
  <c r="D45" i="1"/>
  <c r="D46" i="1"/>
  <c r="D50" i="1"/>
  <c r="D51" i="1"/>
  <c r="D54" i="1"/>
  <c r="D56" i="1"/>
  <c r="D61" i="1"/>
  <c r="D66" i="1"/>
  <c r="D67" i="1"/>
  <c r="D73" i="1"/>
  <c r="D74" i="1"/>
  <c r="D79" i="1"/>
  <c r="D81" i="1"/>
  <c r="D84" i="1"/>
  <c r="D85" i="1"/>
  <c r="D87" i="1"/>
  <c r="D89" i="1"/>
  <c r="D90" i="1"/>
  <c r="D91" i="1"/>
  <c r="D95" i="1"/>
  <c r="D97" i="1"/>
  <c r="D99" i="1"/>
  <c r="D101" i="1"/>
  <c r="D105" i="1"/>
  <c r="D107" i="1"/>
  <c r="D108" i="1"/>
  <c r="D111" i="1"/>
  <c r="D114" i="1"/>
  <c r="D115" i="1"/>
  <c r="D117" i="1"/>
  <c r="D118" i="1"/>
  <c r="D119" i="1"/>
  <c r="D120" i="1"/>
  <c r="D121" i="1"/>
  <c r="D122" i="1"/>
  <c r="D123" i="1"/>
  <c r="D124" i="1"/>
  <c r="D116" i="1"/>
  <c r="D112" i="1"/>
  <c r="D113" i="1"/>
  <c r="D110" i="1"/>
  <c r="D109" i="1"/>
  <c r="D106" i="1"/>
  <c r="D103" i="1"/>
  <c r="D104" i="1"/>
  <c r="D102" i="1"/>
  <c r="D100" i="1"/>
  <c r="D98" i="1"/>
  <c r="D96" i="1"/>
  <c r="D94" i="1"/>
  <c r="D93" i="1"/>
  <c r="D92" i="1"/>
  <c r="D88" i="1"/>
  <c r="D86" i="1"/>
  <c r="D83" i="1"/>
  <c r="D82" i="1"/>
  <c r="D80" i="1"/>
  <c r="D78" i="1"/>
  <c r="D77" i="1"/>
  <c r="D76" i="1"/>
  <c r="D75" i="1"/>
  <c r="D72" i="1"/>
  <c r="D71" i="1"/>
  <c r="D69" i="1"/>
  <c r="D70" i="1"/>
  <c r="D68" i="1"/>
  <c r="D65" i="1"/>
  <c r="D64" i="1"/>
  <c r="D63" i="1"/>
  <c r="D62" i="1"/>
  <c r="D60" i="1"/>
  <c r="D59" i="1"/>
  <c r="D58" i="1"/>
  <c r="D57" i="1"/>
  <c r="D55" i="1"/>
  <c r="D53" i="1"/>
  <c r="D52" i="1"/>
  <c r="D49" i="1"/>
  <c r="D48" i="1"/>
  <c r="D47" i="1"/>
  <c r="D44" i="1"/>
  <c r="D43" i="1"/>
  <c r="D40" i="1"/>
  <c r="D39" i="1"/>
  <c r="D37" i="1"/>
  <c r="D35" i="1"/>
  <c r="D32" i="1"/>
  <c r="D31" i="1"/>
  <c r="D30" i="1"/>
  <c r="D29" i="1"/>
  <c r="D28" i="1"/>
  <c r="D23" i="1"/>
  <c r="D21" i="1"/>
  <c r="D20" i="1"/>
  <c r="D14" i="1"/>
  <c r="D15" i="1"/>
  <c r="D10" i="1"/>
  <c r="D11" i="1"/>
  <c r="D6" i="1"/>
  <c r="D3" i="1"/>
  <c r="D2" i="1"/>
</calcChain>
</file>

<file path=xl/sharedStrings.xml><?xml version="1.0" encoding="utf-8"?>
<sst xmlns="http://schemas.openxmlformats.org/spreadsheetml/2006/main" count="296" uniqueCount="253">
  <si>
    <t>Name</t>
  </si>
  <si>
    <t>Definition</t>
  </si>
  <si>
    <t>r</t>
  </si>
  <si>
    <t>Preselect by Dr. Gupta?</t>
  </si>
  <si>
    <t>ADD/REMOVE</t>
  </si>
  <si>
    <t>Comments</t>
  </si>
  <si>
    <t>PRHCT</t>
  </si>
  <si>
    <t>Pre-operative hematocrit</t>
  </si>
  <si>
    <t>ADD</t>
  </si>
  <si>
    <t>OTHERCPT1</t>
  </si>
  <si>
    <t>Other CPT Code 1</t>
  </si>
  <si>
    <t>ETHNICITY_HISPANIC</t>
  </si>
  <si>
    <t>Ethnicity Hispanic</t>
  </si>
  <si>
    <t>SEX</t>
  </si>
  <si>
    <t>Gender</t>
  </si>
  <si>
    <t>OTHERPROC1</t>
  </si>
  <si>
    <t>Other Procedure 1</t>
  </si>
  <si>
    <t>DYSPNEA</t>
  </si>
  <si>
    <t>Dyspnea</t>
  </si>
  <si>
    <t>WORKRVU</t>
  </si>
  <si>
    <t>Work Relative Value Unit</t>
  </si>
  <si>
    <t>CPT</t>
  </si>
  <si>
    <t>ADMYR</t>
  </si>
  <si>
    <t>Year of Admission</t>
  </si>
  <si>
    <t>PUFYEAR</t>
  </si>
  <si>
    <t>Year of PUF</t>
  </si>
  <si>
    <t>OPERYR</t>
  </si>
  <si>
    <t>Year of Operation</t>
  </si>
  <si>
    <t>HDISDT</t>
  </si>
  <si>
    <t>Hospital discharge Year</t>
  </si>
  <si>
    <t>PRSODM</t>
  </si>
  <si>
    <t>Pre-operative serum sodium</t>
  </si>
  <si>
    <t>HEIGHT</t>
  </si>
  <si>
    <t>Height in inches</t>
  </si>
  <si>
    <t>PRNCPTX</t>
  </si>
  <si>
    <t>Principal operative procedure CPT code description</t>
  </si>
  <si>
    <t>WNDCLAS</t>
  </si>
  <si>
    <t>Wound classification</t>
  </si>
  <si>
    <t>WOUND_CLOSURE</t>
  </si>
  <si>
    <t>Surgical wound closure</t>
  </si>
  <si>
    <t>CDARREST</t>
  </si>
  <si>
    <t>Occurrences Cardiac Arrest Requiring CPR</t>
  </si>
  <si>
    <t>DPRBUN</t>
  </si>
  <si>
    <t>Days from BUN Preoperative Labs to Operation</t>
  </si>
  <si>
    <t>DPRNA</t>
  </si>
  <si>
    <t>Days from Na Preoperative Labs to Operation</t>
  </si>
  <si>
    <t>DPRHCT</t>
  </si>
  <si>
    <t>Days from HCT Preoperative Labs to Operation</t>
  </si>
  <si>
    <t>WEIGHT</t>
  </si>
  <si>
    <t>Weight in lbs</t>
  </si>
  <si>
    <t>PRBILI</t>
  </si>
  <si>
    <t>Pre-operative total bilirubin</t>
  </si>
  <si>
    <t>ELECTSURG</t>
  </si>
  <si>
    <t>Elective Surgery</t>
  </si>
  <si>
    <t>DPRCREAT</t>
  </si>
  <si>
    <t>Days from Creatinine Preoperative Labs to Operation</t>
  </si>
  <si>
    <t>DPRWBC</t>
  </si>
  <si>
    <t>Days from WBC Preoperative Labs to Operation</t>
  </si>
  <si>
    <t>DPRPLATE</t>
  </si>
  <si>
    <t>Days from PlateCount Preoperative Labs to Operation</t>
  </si>
  <si>
    <t>DPRINR</t>
  </si>
  <si>
    <t>Days from INR Preoperative Labs to Operation</t>
  </si>
  <si>
    <t>DPRBILI</t>
  </si>
  <si>
    <t>Days from Bilirubin Preoperative Labs to Operation</t>
  </si>
  <si>
    <t>DPRALKPH</t>
  </si>
  <si>
    <t>Days from ALKPHOS Preoperative Labs to Operation</t>
  </si>
  <si>
    <t>OPRENAFL</t>
  </si>
  <si>
    <t>Occurrences Acute Renal Fail</t>
  </si>
  <si>
    <t>DPRSGOT</t>
  </si>
  <si>
    <t>Days from SGOT Preoperative Labs to Operation</t>
  </si>
  <si>
    <t>DPRALBUM</t>
  </si>
  <si>
    <t>Days from Albumin Preoperative Labs to Operation</t>
  </si>
  <si>
    <t>SURGSPEC</t>
  </si>
  <si>
    <t>Surgical Specialty</t>
  </si>
  <si>
    <t>CDMI</t>
  </si>
  <si>
    <t>Occurrences Myocardial Infarction</t>
  </si>
  <si>
    <t>INOUT</t>
  </si>
  <si>
    <t>Inpatient/outpatient</t>
  </si>
  <si>
    <t>BMI</t>
  </si>
  <si>
    <t>Body Mass Index</t>
  </si>
  <si>
    <t>BLEEDIS</t>
  </si>
  <si>
    <t>Bleeding disorder</t>
  </si>
  <si>
    <t>OTHCDIFF</t>
  </si>
  <si>
    <t>Occurrences Clostridium Difficile (C.diff) Colitis</t>
  </si>
  <si>
    <t>SUPINFEC</t>
  </si>
  <si>
    <t>Occurrences Superficial surgical site infection</t>
  </si>
  <si>
    <t>OTHDVT</t>
  </si>
  <si>
    <t>Occurrences DVT/Thrombophlebitis</t>
  </si>
  <si>
    <t>NSUPINFEC</t>
  </si>
  <si>
    <t>Number of Superficial Incisional SSI  Occurrences</t>
  </si>
  <si>
    <t>PRSGOT</t>
  </si>
  <si>
    <t>Pre-operative SGOT</t>
  </si>
  <si>
    <t>RENAINSF</t>
  </si>
  <si>
    <t>Occurrences Progressive Renal Insufficiency</t>
  </si>
  <si>
    <t>DPRPTT</t>
  </si>
  <si>
    <t>Days from PTT Preoperative Labs to Operation</t>
  </si>
  <si>
    <t>PRALBUM</t>
  </si>
  <si>
    <t>Pre-operative serum albumin</t>
  </si>
  <si>
    <t>EMERGNCY</t>
  </si>
  <si>
    <t>Emergency case</t>
  </si>
  <si>
    <t>SMOKE</t>
  </si>
  <si>
    <t>Current smoker within one year</t>
  </si>
  <si>
    <t>DIABETES</t>
  </si>
  <si>
    <t>Diabetes mellitus with oral agents or insulin</t>
  </si>
  <si>
    <t>SSSIPATOS</t>
  </si>
  <si>
    <t>Superficial Incisional SSI PATOS</t>
  </si>
  <si>
    <t>PRPTT</t>
  </si>
  <si>
    <t>Pre-operative PTT</t>
  </si>
  <si>
    <t>NWNDINFD</t>
  </si>
  <si>
    <t>Number of Deep Incisional SSI Occurrences</t>
  </si>
  <si>
    <t>HTOODAY</t>
  </si>
  <si>
    <t>Days from Hospital Admission to Operation</t>
  </si>
  <si>
    <t>ANESTHES</t>
  </si>
  <si>
    <t>Principal anesthesia technique</t>
  </si>
  <si>
    <t>OTHERWRVU1</t>
  </si>
  <si>
    <t>Other Work Relative Value Unit 1</t>
  </si>
  <si>
    <t>ORGSPCSSI</t>
  </si>
  <si>
    <t>Occurrences Organ Space SSI</t>
  </si>
  <si>
    <t>NORGSPCSSI</t>
  </si>
  <si>
    <t>Number of Organ/Space SSI Occurrences</t>
  </si>
  <si>
    <t>NDEHIS</t>
  </si>
  <si>
    <t>Number of Wound Disruption Occurrences</t>
  </si>
  <si>
    <t>DEHIS</t>
  </si>
  <si>
    <t>Occurrences Wound Disrupt</t>
  </si>
  <si>
    <t>ADMQTR</t>
  </si>
  <si>
    <t>Quarter of Admission</t>
  </si>
  <si>
    <t>WNDINFD</t>
  </si>
  <si>
    <t>Occurrences Deep Incisional SSI</t>
  </si>
  <si>
    <t>NOTHSYSEP</t>
  </si>
  <si>
    <t>Number of Sepsis Occurrences</t>
  </si>
  <si>
    <t>OTHSYSEP</t>
  </si>
  <si>
    <t>Occurrences Sepsis</t>
  </si>
  <si>
    <t>DISCANCR</t>
  </si>
  <si>
    <t>Disseminated cancer</t>
  </si>
  <si>
    <t>PODIAG10</t>
  </si>
  <si>
    <t>Post-op diagnosis (ICD 10)</t>
  </si>
  <si>
    <t>WTLOSS</t>
  </si>
  <si>
    <t>Malnourishment</t>
  </si>
  <si>
    <t>URNINFEC</t>
  </si>
  <si>
    <t>Occurrences Urinary Tract Infection</t>
  </si>
  <si>
    <t>NURNINFEC</t>
  </si>
  <si>
    <t>Number of Urinary Tract infection Occurrences</t>
  </si>
  <si>
    <t>NPULEMBOL</t>
  </si>
  <si>
    <t>Number of Pulmonary Embolism Occurrences</t>
  </si>
  <si>
    <t>PRPLATE</t>
  </si>
  <si>
    <t>Pre-operative platelet count</t>
  </si>
  <si>
    <t>PULEMBOL</t>
  </si>
  <si>
    <t>Occurrences Pulmonary Embolism</t>
  </si>
  <si>
    <t>SEPSISPATOS</t>
  </si>
  <si>
    <t>Sepsis PATOS</t>
  </si>
  <si>
    <t>ASACLAS</t>
  </si>
  <si>
    <t>ASA classification</t>
  </si>
  <si>
    <t>ASCITES</t>
  </si>
  <si>
    <t>Ascites</t>
  </si>
  <si>
    <t>NOTHDVT</t>
  </si>
  <si>
    <t>Number of DVT/Thrombophlebitis Occurrences</t>
  </si>
  <si>
    <t>NOTHCDIFF</t>
  </si>
  <si>
    <t>Number of C. diff Occurrences</t>
  </si>
  <si>
    <t>PRWBC</t>
  </si>
  <si>
    <t>Pre-operative WBC</t>
  </si>
  <si>
    <t>UTIPATOS</t>
  </si>
  <si>
    <t>UTI PATOS</t>
  </si>
  <si>
    <t>VENTILAT</t>
  </si>
  <si>
    <t>Ventilator dependent</t>
  </si>
  <si>
    <t>RENAFAIL</t>
  </si>
  <si>
    <t>Acute renal failure (pre-op)</t>
  </si>
  <si>
    <t>NCDMI</t>
  </si>
  <si>
    <t>Number of Myocardial Infarction Occurrences</t>
  </si>
  <si>
    <t>HXCOPD</t>
  </si>
  <si>
    <t>History of severe COPD</t>
  </si>
  <si>
    <t>VENTPATOS</t>
  </si>
  <si>
    <t>On Ventilator &gt; 48 Hours PATOS</t>
  </si>
  <si>
    <t>PRINR</t>
  </si>
  <si>
    <t>Pre-operative International Normalized Ratio (INR) of PT values</t>
  </si>
  <si>
    <t>FNSTATUS2</t>
  </si>
  <si>
    <t>Functional health status Prior to Surgery</t>
  </si>
  <si>
    <t>WNDINF</t>
  </si>
  <si>
    <t>Open wound/wound infection</t>
  </si>
  <si>
    <t>OTHSESHOCK</t>
  </si>
  <si>
    <t>Occurrences Septic Shock</t>
  </si>
  <si>
    <t>NOTHSESHOCK</t>
  </si>
  <si>
    <t>Number of Septic Shock Occurrences</t>
  </si>
  <si>
    <t>NCNSCVA</t>
  </si>
  <si>
    <t>Number of Stroke/CVA Occurrences</t>
  </si>
  <si>
    <t>CNSCVA</t>
  </si>
  <si>
    <t>CVA/Stroke with neurological deficit</t>
  </si>
  <si>
    <t>PRALKPH</t>
  </si>
  <si>
    <t>Pre-operative alkaline phosphatase</t>
  </si>
  <si>
    <t>EOL_WDCARE</t>
  </si>
  <si>
    <t>End of Life/Withdrawal of Care</t>
  </si>
  <si>
    <t>STILLINHOSP</t>
  </si>
  <si>
    <t>Still in Hospital &gt; 30 Days</t>
  </si>
  <si>
    <t>NOUPNEUMO</t>
  </si>
  <si>
    <t>Number of Pneumonia Occurrences</t>
  </si>
  <si>
    <t>OUPNEUMO</t>
  </si>
  <si>
    <t>Occurrences Pneumonia</t>
  </si>
  <si>
    <t>STEROID</t>
  </si>
  <si>
    <t>Immunosuppressive Therapy</t>
  </si>
  <si>
    <t>PNAPATOS</t>
  </si>
  <si>
    <t>Pneumonia PATOS</t>
  </si>
  <si>
    <t>HYPERMED</t>
  </si>
  <si>
    <t>Hypertension requiring medication</t>
  </si>
  <si>
    <t>TOTHLOS</t>
  </si>
  <si>
    <t>Length of total hospital stay</t>
  </si>
  <si>
    <t>PODIAGTX10</t>
  </si>
  <si>
    <t>Post-op Diagnosis Text</t>
  </si>
  <si>
    <t>READMISSION1</t>
  </si>
  <si>
    <t>Any Readmission 1</t>
  </si>
  <si>
    <t>NOPRENAFL</t>
  </si>
  <si>
    <t>Number of Acute Renal Failure Occurrences</t>
  </si>
  <si>
    <t>NRENAINSF</t>
  </si>
  <si>
    <t>Number of Progressive Renal Insufficiency Occurrences</t>
  </si>
  <si>
    <t>NCDARREST</t>
  </si>
  <si>
    <t>Number of Cardiac Arrest Requiring CPR Occurrences</t>
  </si>
  <si>
    <t>TRANSFUS</t>
  </si>
  <si>
    <t>Preop Transfusion of &gt;= 1 unit of whole/packed RBCs in 72 hours prior to surgery</t>
  </si>
  <si>
    <t>AGE</t>
  </si>
  <si>
    <t>Age of patient with patients over 89 coded as 90+</t>
  </si>
  <si>
    <t>NREINTUB</t>
  </si>
  <si>
    <t>Number of Unplanned Intubation Occurrences</t>
  </si>
  <si>
    <t>REINTUB</t>
  </si>
  <si>
    <t>Occurrences Unplanned Intubation</t>
  </si>
  <si>
    <t>DISCHDEST</t>
  </si>
  <si>
    <t>Discharge Destination</t>
  </si>
  <si>
    <t>TRANST</t>
  </si>
  <si>
    <t>Transfer status</t>
  </si>
  <si>
    <t>PRCREAT</t>
  </si>
  <si>
    <t>Pre-operative serum creatinine</t>
  </si>
  <si>
    <t>RACE_NEW</t>
  </si>
  <si>
    <t>New Race</t>
  </si>
  <si>
    <t>DIALYSIS</t>
  </si>
  <si>
    <t>Currently on dialysis (pre-op)</t>
  </si>
  <si>
    <t>HXCHF</t>
  </si>
  <si>
    <t>Heart failure (CHF) in 30 days before surgery</t>
  </si>
  <si>
    <t>PRBUN</t>
  </si>
  <si>
    <t>Pre-operative BUN</t>
  </si>
  <si>
    <t>MORBPROB</t>
  </si>
  <si>
    <t>Estimated Probability of Morbidity</t>
  </si>
  <si>
    <t>DOPTODIS</t>
  </si>
  <si>
    <t>Days from Operation to Discharge</t>
  </si>
  <si>
    <t>REOPERATION1</t>
  </si>
  <si>
    <t>Unplanned Reoperation 1</t>
  </si>
  <si>
    <t>RETURNOR</t>
  </si>
  <si>
    <t>Return to OR</t>
  </si>
  <si>
    <t>NFAILWEAN</t>
  </si>
  <si>
    <t>Number of On Ventilator &gt; 48 Hours Occurrences</t>
  </si>
  <si>
    <t>FAILWEAN</t>
  </si>
  <si>
    <t>Occurrences Ventilator &gt; 48Hours</t>
  </si>
  <si>
    <t>MORTPROB</t>
  </si>
  <si>
    <t>Estimated Probability of Mortality</t>
  </si>
  <si>
    <t>OPTIME</t>
  </si>
  <si>
    <t>Total operation time</t>
  </si>
  <si>
    <t>effect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</si>
</sst>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8" fillId="0" borderId="0" xfId="0" applyFon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G124"/>
  <sheetViews>
    <sheetView tabSelected="1" workbookViewId="0">
      <selection activeCell="A4" sqref="A4"/>
    </sheetView>
  </sheetViews>
  <sheetFormatPr baseColWidth="10" defaultRowHeight="16" x14ac:dyDescent="0.2"/>
  <cols>
    <col min="2" max="2" width="65.6640625" bestFit="1" customWidth="1"/>
    <col min="4" max="4" width="16.33203125" customWidth="1"/>
    <col min="5" max="5" width="21.5" customWidth="1"/>
    <col min="6" max="6" width="15" customWidth="1"/>
    <col min="7" max="7" width="14.1640625" customWidth="1"/>
  </cols>
  <sheetData>
    <row r="1" spans="1:7" s="1" customFormat="1" x14ac:dyDescent="0.2">
      <c r="A1" s="1" t="s">
        <v>0</v>
      </c>
      <c r="B1" s="1" t="s">
        <v>1</v>
      </c>
      <c r="C1" s="1" t="s">
        <v>2</v>
      </c>
      <c r="D1" s="1" t="s">
        <v>252</v>
      </c>
      <c r="E1" s="1" t="s">
        <v>3</v>
      </c>
      <c r="F1" s="1" t="s">
        <v>4</v>
      </c>
      <c r="G1" s="1" t="s">
        <v>5</v>
      </c>
    </row>
    <row r="2" spans="1:7" hidden="1" x14ac:dyDescent="0.2">
      <c r="A2" t="s">
        <v>6</v>
      </c>
      <c r="B2" t="s">
        <v>7</v>
      </c>
      <c r="C2">
        <v>0.268657482</v>
      </c>
      <c r="D2">
        <f t="shared" ref="D2:D33" si="0">ABS(C2)</f>
        <v>0.268657482</v>
      </c>
      <c r="E2" t="b">
        <v>1</v>
      </c>
      <c r="F2" t="s">
        <v>8</v>
      </c>
    </row>
    <row r="3" spans="1:7" hidden="1" x14ac:dyDescent="0.2">
      <c r="A3" t="s">
        <v>250</v>
      </c>
      <c r="B3" t="s">
        <v>251</v>
      </c>
      <c r="C3">
        <v>-0.20900511199999999</v>
      </c>
      <c r="D3">
        <f t="shared" si="0"/>
        <v>0.20900511199999999</v>
      </c>
      <c r="E3" t="b">
        <v>1</v>
      </c>
      <c r="F3" t="s">
        <v>8</v>
      </c>
    </row>
    <row r="4" spans="1:7" x14ac:dyDescent="0.2">
      <c r="A4" s="2" t="s">
        <v>9</v>
      </c>
      <c r="B4" t="s">
        <v>10</v>
      </c>
      <c r="C4">
        <v>0.176161026</v>
      </c>
      <c r="D4">
        <f t="shared" si="0"/>
        <v>0.176161026</v>
      </c>
      <c r="E4" t="b">
        <v>0</v>
      </c>
    </row>
    <row r="5" spans="1:7" hidden="1" x14ac:dyDescent="0.2">
      <c r="A5" t="s">
        <v>11</v>
      </c>
      <c r="B5" t="s">
        <v>12</v>
      </c>
      <c r="C5">
        <v>0.16066071000000001</v>
      </c>
      <c r="D5">
        <f t="shared" si="0"/>
        <v>0.16066071000000001</v>
      </c>
      <c r="E5" t="b">
        <v>1</v>
      </c>
      <c r="F5" t="s">
        <v>8</v>
      </c>
    </row>
    <row r="6" spans="1:7" x14ac:dyDescent="0.2">
      <c r="A6" t="s">
        <v>248</v>
      </c>
      <c r="B6" t="s">
        <v>249</v>
      </c>
      <c r="C6">
        <v>-0.150074551</v>
      </c>
      <c r="D6">
        <f t="shared" si="0"/>
        <v>0.150074551</v>
      </c>
      <c r="E6" t="b">
        <v>0</v>
      </c>
    </row>
    <row r="7" spans="1:7" hidden="1" x14ac:dyDescent="0.2">
      <c r="A7" t="s">
        <v>13</v>
      </c>
      <c r="B7" t="s">
        <v>14</v>
      </c>
      <c r="C7">
        <v>0.14795264799999999</v>
      </c>
      <c r="D7">
        <f t="shared" si="0"/>
        <v>0.14795264799999999</v>
      </c>
      <c r="E7" t="b">
        <v>1</v>
      </c>
      <c r="F7" t="s">
        <v>8</v>
      </c>
    </row>
    <row r="8" spans="1:7" x14ac:dyDescent="0.2">
      <c r="A8" t="s">
        <v>15</v>
      </c>
      <c r="B8" t="s">
        <v>16</v>
      </c>
      <c r="C8">
        <v>0.12790963</v>
      </c>
      <c r="D8">
        <f t="shared" si="0"/>
        <v>0.12790963</v>
      </c>
      <c r="E8" t="b">
        <v>0</v>
      </c>
    </row>
    <row r="9" spans="1:7" hidden="1" x14ac:dyDescent="0.2">
      <c r="A9" t="s">
        <v>17</v>
      </c>
      <c r="B9" t="s">
        <v>18</v>
      </c>
      <c r="C9">
        <v>0.122964121</v>
      </c>
      <c r="D9">
        <f t="shared" si="0"/>
        <v>0.122964121</v>
      </c>
      <c r="E9" t="b">
        <v>1</v>
      </c>
      <c r="F9" t="s">
        <v>8</v>
      </c>
    </row>
    <row r="10" spans="1:7" x14ac:dyDescent="0.2">
      <c r="A10" t="s">
        <v>244</v>
      </c>
      <c r="B10" t="s">
        <v>245</v>
      </c>
      <c r="C10">
        <v>-0.12251767099999999</v>
      </c>
      <c r="D10">
        <f t="shared" si="0"/>
        <v>0.12251767099999999</v>
      </c>
      <c r="E10" t="b">
        <v>0</v>
      </c>
    </row>
    <row r="11" spans="1:7" x14ac:dyDescent="0.2">
      <c r="A11" t="s">
        <v>246</v>
      </c>
      <c r="B11" t="s">
        <v>247</v>
      </c>
      <c r="C11">
        <v>-0.12251767099999999</v>
      </c>
      <c r="D11">
        <f t="shared" si="0"/>
        <v>0.12251767099999999</v>
      </c>
      <c r="E11" t="b">
        <v>0</v>
      </c>
    </row>
    <row r="12" spans="1:7" x14ac:dyDescent="0.2">
      <c r="A12" t="s">
        <v>19</v>
      </c>
      <c r="B12" t="s">
        <v>20</v>
      </c>
      <c r="C12">
        <v>0.120165881</v>
      </c>
      <c r="D12">
        <f t="shared" si="0"/>
        <v>0.120165881</v>
      </c>
      <c r="E12" t="b">
        <v>0</v>
      </c>
    </row>
    <row r="13" spans="1:7" hidden="1" x14ac:dyDescent="0.2">
      <c r="A13" t="s">
        <v>21</v>
      </c>
      <c r="B13" t="s">
        <v>21</v>
      </c>
      <c r="C13">
        <v>0.11593210800000001</v>
      </c>
      <c r="D13">
        <f t="shared" si="0"/>
        <v>0.11593210800000001</v>
      </c>
      <c r="E13" t="b">
        <v>1</v>
      </c>
    </row>
    <row r="14" spans="1:7" x14ac:dyDescent="0.2">
      <c r="A14" t="s">
        <v>240</v>
      </c>
      <c r="B14" t="s">
        <v>241</v>
      </c>
      <c r="C14">
        <v>-0.115472218</v>
      </c>
      <c r="D14">
        <f t="shared" si="0"/>
        <v>0.115472218</v>
      </c>
      <c r="E14" t="b">
        <v>0</v>
      </c>
    </row>
    <row r="15" spans="1:7" x14ac:dyDescent="0.2">
      <c r="A15" t="s">
        <v>242</v>
      </c>
      <c r="B15" t="s">
        <v>243</v>
      </c>
      <c r="C15">
        <v>-0.115472218</v>
      </c>
      <c r="D15">
        <f t="shared" si="0"/>
        <v>0.115472218</v>
      </c>
      <c r="E15" t="b">
        <v>0</v>
      </c>
    </row>
    <row r="16" spans="1:7" x14ac:dyDescent="0.2">
      <c r="A16" t="s">
        <v>22</v>
      </c>
      <c r="B16" t="s">
        <v>23</v>
      </c>
      <c r="C16">
        <v>0.112145233</v>
      </c>
      <c r="D16">
        <f t="shared" si="0"/>
        <v>0.112145233</v>
      </c>
      <c r="E16" t="b">
        <v>0</v>
      </c>
    </row>
    <row r="17" spans="1:6" hidden="1" x14ac:dyDescent="0.2">
      <c r="A17" t="s">
        <v>24</v>
      </c>
      <c r="B17" t="s">
        <v>25</v>
      </c>
      <c r="C17">
        <v>0.11202811</v>
      </c>
      <c r="D17">
        <f t="shared" si="0"/>
        <v>0.11202811</v>
      </c>
      <c r="E17" t="b">
        <v>1</v>
      </c>
      <c r="F17" t="s">
        <v>8</v>
      </c>
    </row>
    <row r="18" spans="1:6" x14ac:dyDescent="0.2">
      <c r="A18" t="s">
        <v>26</v>
      </c>
      <c r="B18" t="s">
        <v>27</v>
      </c>
      <c r="C18">
        <v>0.11202811</v>
      </c>
      <c r="D18">
        <f t="shared" si="0"/>
        <v>0.11202811</v>
      </c>
      <c r="E18" t="b">
        <v>0</v>
      </c>
    </row>
    <row r="19" spans="1:6" x14ac:dyDescent="0.2">
      <c r="A19" t="s">
        <v>28</v>
      </c>
      <c r="B19" t="s">
        <v>29</v>
      </c>
      <c r="C19">
        <v>0.111824062</v>
      </c>
      <c r="D19">
        <f t="shared" si="0"/>
        <v>0.111824062</v>
      </c>
      <c r="E19" t="b">
        <v>0</v>
      </c>
    </row>
    <row r="20" spans="1:6" x14ac:dyDescent="0.2">
      <c r="A20" t="s">
        <v>238</v>
      </c>
      <c r="B20" t="s">
        <v>239</v>
      </c>
      <c r="C20">
        <v>-0.10782153799999999</v>
      </c>
      <c r="D20">
        <f t="shared" si="0"/>
        <v>0.10782153799999999</v>
      </c>
      <c r="E20" t="b">
        <v>0</v>
      </c>
    </row>
    <row r="21" spans="1:6" x14ac:dyDescent="0.2">
      <c r="A21" t="s">
        <v>236</v>
      </c>
      <c r="B21" t="s">
        <v>237</v>
      </c>
      <c r="C21">
        <v>-0.102800374</v>
      </c>
      <c r="D21">
        <f t="shared" si="0"/>
        <v>0.102800374</v>
      </c>
      <c r="E21" t="b">
        <v>0</v>
      </c>
    </row>
    <row r="22" spans="1:6" hidden="1" x14ac:dyDescent="0.2">
      <c r="A22" t="s">
        <v>30</v>
      </c>
      <c r="B22" t="s">
        <v>31</v>
      </c>
      <c r="C22">
        <v>0.10051445000000001</v>
      </c>
      <c r="D22">
        <f t="shared" si="0"/>
        <v>0.10051445000000001</v>
      </c>
      <c r="E22" t="b">
        <v>1</v>
      </c>
      <c r="F22" t="s">
        <v>8</v>
      </c>
    </row>
    <row r="23" spans="1:6" hidden="1" x14ac:dyDescent="0.2">
      <c r="A23" t="s">
        <v>234</v>
      </c>
      <c r="B23" t="s">
        <v>235</v>
      </c>
      <c r="C23">
        <v>-9.9328871999999999E-2</v>
      </c>
      <c r="D23">
        <f t="shared" si="0"/>
        <v>9.9328871999999999E-2</v>
      </c>
      <c r="E23" t="b">
        <v>1</v>
      </c>
      <c r="F23" t="s">
        <v>8</v>
      </c>
    </row>
    <row r="24" spans="1:6" hidden="1" x14ac:dyDescent="0.2">
      <c r="A24" t="s">
        <v>32</v>
      </c>
      <c r="B24" t="s">
        <v>33</v>
      </c>
      <c r="C24">
        <v>9.6649497000000001E-2</v>
      </c>
      <c r="D24">
        <f t="shared" si="0"/>
        <v>9.6649497000000001E-2</v>
      </c>
      <c r="E24" t="b">
        <v>1</v>
      </c>
      <c r="F24" t="s">
        <v>8</v>
      </c>
    </row>
    <row r="25" spans="1:6" x14ac:dyDescent="0.2">
      <c r="A25" t="s">
        <v>34</v>
      </c>
      <c r="B25" t="s">
        <v>35</v>
      </c>
      <c r="C25">
        <v>9.3446101000000004E-2</v>
      </c>
      <c r="D25">
        <f t="shared" si="0"/>
        <v>9.3446101000000004E-2</v>
      </c>
      <c r="E25" t="b">
        <v>0</v>
      </c>
    </row>
    <row r="26" spans="1:6" x14ac:dyDescent="0.2">
      <c r="A26" t="s">
        <v>36</v>
      </c>
      <c r="B26" t="s">
        <v>37</v>
      </c>
      <c r="C26">
        <v>9.2231451000000006E-2</v>
      </c>
      <c r="D26">
        <f t="shared" si="0"/>
        <v>9.2231451000000006E-2</v>
      </c>
      <c r="E26" t="b">
        <v>0</v>
      </c>
    </row>
    <row r="27" spans="1:6" x14ac:dyDescent="0.2">
      <c r="A27" t="s">
        <v>38</v>
      </c>
      <c r="B27" t="s">
        <v>39</v>
      </c>
      <c r="C27">
        <v>9.1886666000000006E-2</v>
      </c>
      <c r="D27">
        <f t="shared" si="0"/>
        <v>9.1886666000000006E-2</v>
      </c>
      <c r="E27" t="b">
        <v>0</v>
      </c>
    </row>
    <row r="28" spans="1:6" hidden="1" x14ac:dyDescent="0.2">
      <c r="A28" t="s">
        <v>232</v>
      </c>
      <c r="B28" t="s">
        <v>233</v>
      </c>
      <c r="C28">
        <v>-9.0979130000000005E-2</v>
      </c>
      <c r="D28">
        <f t="shared" si="0"/>
        <v>9.0979130000000005E-2</v>
      </c>
      <c r="E28" t="b">
        <v>1</v>
      </c>
      <c r="F28" t="s">
        <v>8</v>
      </c>
    </row>
    <row r="29" spans="1:6" hidden="1" x14ac:dyDescent="0.2">
      <c r="A29" t="s">
        <v>230</v>
      </c>
      <c r="B29" t="s">
        <v>231</v>
      </c>
      <c r="C29">
        <v>-8.9090332999999994E-2</v>
      </c>
      <c r="D29">
        <f t="shared" si="0"/>
        <v>8.9090332999999994E-2</v>
      </c>
      <c r="E29" t="b">
        <v>1</v>
      </c>
      <c r="F29" t="s">
        <v>8</v>
      </c>
    </row>
    <row r="30" spans="1:6" hidden="1" x14ac:dyDescent="0.2">
      <c r="A30" t="s">
        <v>228</v>
      </c>
      <c r="B30" t="s">
        <v>229</v>
      </c>
      <c r="C30">
        <v>-8.5206144999999997E-2</v>
      </c>
      <c r="D30">
        <f t="shared" si="0"/>
        <v>8.5206144999999997E-2</v>
      </c>
      <c r="E30" t="b">
        <v>1</v>
      </c>
      <c r="F30" t="s">
        <v>8</v>
      </c>
    </row>
    <row r="31" spans="1:6" hidden="1" x14ac:dyDescent="0.2">
      <c r="A31" t="s">
        <v>226</v>
      </c>
      <c r="B31" t="s">
        <v>227</v>
      </c>
      <c r="C31">
        <v>-8.4830700999999994E-2</v>
      </c>
      <c r="D31">
        <f t="shared" si="0"/>
        <v>8.4830700999999994E-2</v>
      </c>
      <c r="E31" t="b">
        <v>1</v>
      </c>
      <c r="F31" t="s">
        <v>8</v>
      </c>
    </row>
    <row r="32" spans="1:6" x14ac:dyDescent="0.2">
      <c r="A32" t="s">
        <v>224</v>
      </c>
      <c r="B32" t="s">
        <v>225</v>
      </c>
      <c r="C32">
        <v>-8.3151903999999999E-2</v>
      </c>
      <c r="D32">
        <f t="shared" si="0"/>
        <v>8.3151903999999999E-2</v>
      </c>
      <c r="E32" t="b">
        <v>0</v>
      </c>
    </row>
    <row r="33" spans="1:6" x14ac:dyDescent="0.2">
      <c r="A33" t="s">
        <v>40</v>
      </c>
      <c r="B33" t="s">
        <v>41</v>
      </c>
      <c r="C33">
        <v>8.2760207000000002E-2</v>
      </c>
      <c r="D33">
        <f t="shared" si="0"/>
        <v>8.2760207000000002E-2</v>
      </c>
      <c r="E33" t="b">
        <v>0</v>
      </c>
    </row>
    <row r="34" spans="1:6" x14ac:dyDescent="0.2">
      <c r="A34" t="s">
        <v>42</v>
      </c>
      <c r="B34" t="s">
        <v>43</v>
      </c>
      <c r="C34">
        <v>8.1701891999999998E-2</v>
      </c>
      <c r="D34">
        <f t="shared" ref="D34:D65" si="1">ABS(C34)</f>
        <v>8.1701891999999998E-2</v>
      </c>
      <c r="E34" t="b">
        <v>0</v>
      </c>
    </row>
    <row r="35" spans="1:6" x14ac:dyDescent="0.2">
      <c r="A35" t="s">
        <v>222</v>
      </c>
      <c r="B35" t="s">
        <v>223</v>
      </c>
      <c r="C35">
        <v>-8.1047462000000001E-2</v>
      </c>
      <c r="D35">
        <f t="shared" si="1"/>
        <v>8.1047462000000001E-2</v>
      </c>
      <c r="E35" t="b">
        <v>0</v>
      </c>
    </row>
    <row r="36" spans="1:6" x14ac:dyDescent="0.2">
      <c r="A36" t="s">
        <v>44</v>
      </c>
      <c r="B36" t="s">
        <v>45</v>
      </c>
      <c r="C36">
        <v>7.8437648999999998E-2</v>
      </c>
      <c r="D36">
        <f t="shared" si="1"/>
        <v>7.8437648999999998E-2</v>
      </c>
      <c r="E36" t="b">
        <v>0</v>
      </c>
    </row>
    <row r="37" spans="1:6" x14ac:dyDescent="0.2">
      <c r="A37" t="s">
        <v>220</v>
      </c>
      <c r="B37" t="s">
        <v>221</v>
      </c>
      <c r="C37">
        <v>-7.6901943E-2</v>
      </c>
      <c r="D37">
        <f t="shared" si="1"/>
        <v>7.6901943E-2</v>
      </c>
      <c r="E37" t="b">
        <v>0</v>
      </c>
    </row>
    <row r="38" spans="1:6" x14ac:dyDescent="0.2">
      <c r="A38" t="s">
        <v>46</v>
      </c>
      <c r="B38" t="s">
        <v>47</v>
      </c>
      <c r="C38">
        <v>7.4870674999999998E-2</v>
      </c>
      <c r="D38">
        <f t="shared" si="1"/>
        <v>7.4870674999999998E-2</v>
      </c>
      <c r="E38" t="b">
        <v>0</v>
      </c>
    </row>
    <row r="39" spans="1:6" x14ac:dyDescent="0.2">
      <c r="A39" t="s">
        <v>218</v>
      </c>
      <c r="B39" t="s">
        <v>219</v>
      </c>
      <c r="C39">
        <v>-7.4836494000000003E-2</v>
      </c>
      <c r="D39">
        <f t="shared" si="1"/>
        <v>7.4836494000000003E-2</v>
      </c>
      <c r="E39" t="b">
        <v>0</v>
      </c>
    </row>
    <row r="40" spans="1:6" hidden="1" x14ac:dyDescent="0.2">
      <c r="A40" t="s">
        <v>216</v>
      </c>
      <c r="B40" t="s">
        <v>217</v>
      </c>
      <c r="C40">
        <v>-7.4457974999999996E-2</v>
      </c>
      <c r="D40">
        <f t="shared" si="1"/>
        <v>7.4457974999999996E-2</v>
      </c>
      <c r="E40" t="b">
        <v>1</v>
      </c>
      <c r="F40" t="s">
        <v>8</v>
      </c>
    </row>
    <row r="41" spans="1:6" hidden="1" x14ac:dyDescent="0.2">
      <c r="A41" t="s">
        <v>48</v>
      </c>
      <c r="B41" t="s">
        <v>49</v>
      </c>
      <c r="C41">
        <v>7.3935290000000001E-2</v>
      </c>
      <c r="D41">
        <f t="shared" si="1"/>
        <v>7.3935290000000001E-2</v>
      </c>
      <c r="E41" t="b">
        <v>1</v>
      </c>
      <c r="F41" t="s">
        <v>8</v>
      </c>
    </row>
    <row r="42" spans="1:6" hidden="1" x14ac:dyDescent="0.2">
      <c r="A42" t="s">
        <v>50</v>
      </c>
      <c r="B42" t="s">
        <v>51</v>
      </c>
      <c r="C42">
        <v>7.3597939000000001E-2</v>
      </c>
      <c r="D42">
        <f t="shared" si="1"/>
        <v>7.3597939000000001E-2</v>
      </c>
      <c r="E42" t="b">
        <v>1</v>
      </c>
      <c r="F42" t="s">
        <v>8</v>
      </c>
    </row>
    <row r="43" spans="1:6" hidden="1" x14ac:dyDescent="0.2">
      <c r="A43" t="s">
        <v>214</v>
      </c>
      <c r="B43" t="s">
        <v>215</v>
      </c>
      <c r="C43">
        <v>-7.1961912000000003E-2</v>
      </c>
      <c r="D43">
        <f t="shared" si="1"/>
        <v>7.1961912000000003E-2</v>
      </c>
      <c r="E43" t="b">
        <v>1</v>
      </c>
      <c r="F43" t="s">
        <v>8</v>
      </c>
    </row>
    <row r="44" spans="1:6" x14ac:dyDescent="0.2">
      <c r="A44" t="s">
        <v>212</v>
      </c>
      <c r="B44" t="s">
        <v>213</v>
      </c>
      <c r="C44">
        <v>-7.0397730000000006E-2</v>
      </c>
      <c r="D44">
        <f t="shared" si="1"/>
        <v>7.0397730000000006E-2</v>
      </c>
      <c r="E44" t="b">
        <v>0</v>
      </c>
    </row>
    <row r="45" spans="1:6" x14ac:dyDescent="0.2">
      <c r="A45" t="s">
        <v>52</v>
      </c>
      <c r="B45" t="s">
        <v>53</v>
      </c>
      <c r="C45">
        <v>6.7959409999999998E-2</v>
      </c>
      <c r="D45">
        <f t="shared" si="1"/>
        <v>6.7959409999999998E-2</v>
      </c>
      <c r="E45" t="b">
        <v>0</v>
      </c>
    </row>
    <row r="46" spans="1:6" x14ac:dyDescent="0.2">
      <c r="A46" t="s">
        <v>54</v>
      </c>
      <c r="B46" t="s">
        <v>55</v>
      </c>
      <c r="C46">
        <v>6.7476723000000002E-2</v>
      </c>
      <c r="D46">
        <f t="shared" si="1"/>
        <v>6.7476723000000002E-2</v>
      </c>
      <c r="E46" t="b">
        <v>0</v>
      </c>
    </row>
    <row r="47" spans="1:6" x14ac:dyDescent="0.2">
      <c r="A47" t="s">
        <v>210</v>
      </c>
      <c r="B47" t="s">
        <v>211</v>
      </c>
      <c r="C47">
        <v>-6.5906340999999993E-2</v>
      </c>
      <c r="D47">
        <f t="shared" si="1"/>
        <v>6.5906340999999993E-2</v>
      </c>
      <c r="E47" t="b">
        <v>0</v>
      </c>
    </row>
    <row r="48" spans="1:6" x14ac:dyDescent="0.2">
      <c r="A48" t="s">
        <v>208</v>
      </c>
      <c r="B48" t="s">
        <v>209</v>
      </c>
      <c r="C48">
        <v>-6.3980967E-2</v>
      </c>
      <c r="D48">
        <f t="shared" si="1"/>
        <v>6.3980967E-2</v>
      </c>
      <c r="E48" t="b">
        <v>0</v>
      </c>
    </row>
    <row r="49" spans="1:6" x14ac:dyDescent="0.2">
      <c r="A49" t="s">
        <v>206</v>
      </c>
      <c r="B49" t="s">
        <v>207</v>
      </c>
      <c r="C49">
        <v>-6.2049396E-2</v>
      </c>
      <c r="D49">
        <f t="shared" si="1"/>
        <v>6.2049396E-2</v>
      </c>
      <c r="E49" t="b">
        <v>0</v>
      </c>
    </row>
    <row r="50" spans="1:6" x14ac:dyDescent="0.2">
      <c r="A50" t="s">
        <v>56</v>
      </c>
      <c r="B50" t="s">
        <v>57</v>
      </c>
      <c r="C50">
        <v>6.2016892999999997E-2</v>
      </c>
      <c r="D50">
        <f t="shared" si="1"/>
        <v>6.2016892999999997E-2</v>
      </c>
      <c r="E50" t="b">
        <v>0</v>
      </c>
    </row>
    <row r="51" spans="1:6" x14ac:dyDescent="0.2">
      <c r="A51" t="s">
        <v>58</v>
      </c>
      <c r="B51" t="s">
        <v>59</v>
      </c>
      <c r="C51">
        <v>6.1095714000000002E-2</v>
      </c>
      <c r="D51">
        <f t="shared" si="1"/>
        <v>6.1095714000000002E-2</v>
      </c>
      <c r="E51" t="b">
        <v>0</v>
      </c>
    </row>
    <row r="52" spans="1:6" x14ac:dyDescent="0.2">
      <c r="A52" t="s">
        <v>204</v>
      </c>
      <c r="B52" t="s">
        <v>205</v>
      </c>
      <c r="C52">
        <v>-6.0748507E-2</v>
      </c>
      <c r="D52">
        <f t="shared" si="1"/>
        <v>6.0748507E-2</v>
      </c>
      <c r="E52" t="b">
        <v>0</v>
      </c>
    </row>
    <row r="53" spans="1:6" hidden="1" x14ac:dyDescent="0.2">
      <c r="A53" t="s">
        <v>202</v>
      </c>
      <c r="B53" t="s">
        <v>203</v>
      </c>
      <c r="C53">
        <v>-5.6399438000000003E-2</v>
      </c>
      <c r="D53">
        <f t="shared" si="1"/>
        <v>5.6399438000000003E-2</v>
      </c>
      <c r="E53" t="b">
        <v>1</v>
      </c>
      <c r="F53" t="s">
        <v>8</v>
      </c>
    </row>
    <row r="54" spans="1:6" x14ac:dyDescent="0.2">
      <c r="A54" t="s">
        <v>60</v>
      </c>
      <c r="B54" t="s">
        <v>61</v>
      </c>
      <c r="C54">
        <v>5.3458028999999997E-2</v>
      </c>
      <c r="D54">
        <f t="shared" si="1"/>
        <v>5.3458028999999997E-2</v>
      </c>
      <c r="E54" t="b">
        <v>0</v>
      </c>
    </row>
    <row r="55" spans="1:6" hidden="1" x14ac:dyDescent="0.2">
      <c r="A55" t="s">
        <v>200</v>
      </c>
      <c r="B55" t="s">
        <v>201</v>
      </c>
      <c r="C55">
        <v>-5.2285696E-2</v>
      </c>
      <c r="D55">
        <f t="shared" si="1"/>
        <v>5.2285696E-2</v>
      </c>
      <c r="E55" t="b">
        <v>1</v>
      </c>
      <c r="F55" t="s">
        <v>8</v>
      </c>
    </row>
    <row r="56" spans="1:6" x14ac:dyDescent="0.2">
      <c r="A56" t="s">
        <v>62</v>
      </c>
      <c r="B56" t="s">
        <v>63</v>
      </c>
      <c r="C56">
        <v>5.2130101999999998E-2</v>
      </c>
      <c r="D56">
        <f t="shared" si="1"/>
        <v>5.2130101999999998E-2</v>
      </c>
      <c r="E56" t="b">
        <v>0</v>
      </c>
    </row>
    <row r="57" spans="1:6" x14ac:dyDescent="0.2">
      <c r="A57" t="s">
        <v>198</v>
      </c>
      <c r="B57" t="s">
        <v>199</v>
      </c>
      <c r="C57">
        <v>-5.1717248E-2</v>
      </c>
      <c r="D57">
        <f t="shared" si="1"/>
        <v>5.1717248E-2</v>
      </c>
      <c r="E57" t="b">
        <v>0</v>
      </c>
    </row>
    <row r="58" spans="1:6" hidden="1" x14ac:dyDescent="0.2">
      <c r="A58" t="s">
        <v>196</v>
      </c>
      <c r="B58" t="s">
        <v>197</v>
      </c>
      <c r="C58">
        <v>-4.9742842000000002E-2</v>
      </c>
      <c r="D58">
        <f t="shared" si="1"/>
        <v>4.9742842000000002E-2</v>
      </c>
      <c r="E58" t="b">
        <v>1</v>
      </c>
      <c r="F58" t="s">
        <v>8</v>
      </c>
    </row>
    <row r="59" spans="1:6" x14ac:dyDescent="0.2">
      <c r="A59" t="s">
        <v>194</v>
      </c>
      <c r="B59" t="s">
        <v>195</v>
      </c>
      <c r="C59">
        <v>-4.9461893E-2</v>
      </c>
      <c r="D59">
        <f t="shared" si="1"/>
        <v>4.9461893E-2</v>
      </c>
      <c r="E59" t="b">
        <v>0</v>
      </c>
    </row>
    <row r="60" spans="1:6" x14ac:dyDescent="0.2">
      <c r="A60" t="s">
        <v>192</v>
      </c>
      <c r="B60" t="s">
        <v>193</v>
      </c>
      <c r="C60">
        <v>-4.9111359E-2</v>
      </c>
      <c r="D60">
        <f t="shared" si="1"/>
        <v>4.9111359E-2</v>
      </c>
      <c r="E60" t="b">
        <v>0</v>
      </c>
    </row>
    <row r="61" spans="1:6" x14ac:dyDescent="0.2">
      <c r="A61" t="s">
        <v>64</v>
      </c>
      <c r="B61" t="s">
        <v>65</v>
      </c>
      <c r="C61">
        <v>4.9049840999999997E-2</v>
      </c>
      <c r="D61">
        <f t="shared" si="1"/>
        <v>4.9049840999999997E-2</v>
      </c>
      <c r="E61" t="b">
        <v>0</v>
      </c>
    </row>
    <row r="62" spans="1:6" x14ac:dyDescent="0.2">
      <c r="A62" t="s">
        <v>190</v>
      </c>
      <c r="B62" t="s">
        <v>191</v>
      </c>
      <c r="C62">
        <v>-4.8470741999999997E-2</v>
      </c>
      <c r="D62">
        <f t="shared" si="1"/>
        <v>4.8470741999999997E-2</v>
      </c>
      <c r="E62" t="b">
        <v>0</v>
      </c>
    </row>
    <row r="63" spans="1:6" x14ac:dyDescent="0.2">
      <c r="A63" t="s">
        <v>188</v>
      </c>
      <c r="B63" t="s">
        <v>189</v>
      </c>
      <c r="C63">
        <v>-4.6653350000000003E-2</v>
      </c>
      <c r="D63">
        <f t="shared" si="1"/>
        <v>4.6653350000000003E-2</v>
      </c>
      <c r="E63" t="b">
        <v>0</v>
      </c>
    </row>
    <row r="64" spans="1:6" hidden="1" x14ac:dyDescent="0.2">
      <c r="A64" t="s">
        <v>186</v>
      </c>
      <c r="B64" t="s">
        <v>187</v>
      </c>
      <c r="C64">
        <v>-4.4843725000000001E-2</v>
      </c>
      <c r="D64">
        <f t="shared" si="1"/>
        <v>4.4843725000000001E-2</v>
      </c>
      <c r="E64" t="b">
        <v>1</v>
      </c>
      <c r="F64" t="s">
        <v>8</v>
      </c>
    </row>
    <row r="65" spans="1:6" x14ac:dyDescent="0.2">
      <c r="A65" t="s">
        <v>184</v>
      </c>
      <c r="B65" t="s">
        <v>185</v>
      </c>
      <c r="C65">
        <v>-4.4626990999999998E-2</v>
      </c>
      <c r="D65">
        <f t="shared" si="1"/>
        <v>4.4626990999999998E-2</v>
      </c>
      <c r="E65" t="b">
        <v>0</v>
      </c>
    </row>
    <row r="66" spans="1:6" x14ac:dyDescent="0.2">
      <c r="A66" t="s">
        <v>66</v>
      </c>
      <c r="B66" t="s">
        <v>67</v>
      </c>
      <c r="C66">
        <v>4.3415178999999998E-2</v>
      </c>
      <c r="D66">
        <f t="shared" ref="D66:D97" si="2">ABS(C66)</f>
        <v>4.3415178999999998E-2</v>
      </c>
      <c r="E66" t="b">
        <v>0</v>
      </c>
    </row>
    <row r="67" spans="1:6" x14ac:dyDescent="0.2">
      <c r="A67" t="s">
        <v>68</v>
      </c>
      <c r="B67" t="s">
        <v>69</v>
      </c>
      <c r="C67">
        <v>4.3344756999999998E-2</v>
      </c>
      <c r="D67">
        <f t="shared" si="2"/>
        <v>4.3344756999999998E-2</v>
      </c>
      <c r="E67" t="b">
        <v>0</v>
      </c>
    </row>
    <row r="68" spans="1:6" x14ac:dyDescent="0.2">
      <c r="A68" t="s">
        <v>182</v>
      </c>
      <c r="B68" t="s">
        <v>183</v>
      </c>
      <c r="C68">
        <v>-4.2386373999999997E-2</v>
      </c>
      <c r="D68">
        <f t="shared" si="2"/>
        <v>4.2386373999999997E-2</v>
      </c>
      <c r="E68" t="b">
        <v>0</v>
      </c>
    </row>
    <row r="69" spans="1:6" x14ac:dyDescent="0.2">
      <c r="A69" t="s">
        <v>178</v>
      </c>
      <c r="B69" t="s">
        <v>179</v>
      </c>
      <c r="C69">
        <v>-4.0903173000000001E-2</v>
      </c>
      <c r="D69">
        <f t="shared" si="2"/>
        <v>4.0903173000000001E-2</v>
      </c>
      <c r="E69" t="b">
        <v>0</v>
      </c>
    </row>
    <row r="70" spans="1:6" x14ac:dyDescent="0.2">
      <c r="A70" t="s">
        <v>180</v>
      </c>
      <c r="B70" t="s">
        <v>181</v>
      </c>
      <c r="C70">
        <v>-4.0903173000000001E-2</v>
      </c>
      <c r="D70">
        <f t="shared" si="2"/>
        <v>4.0903173000000001E-2</v>
      </c>
      <c r="E70" t="b">
        <v>0</v>
      </c>
    </row>
    <row r="71" spans="1:6" hidden="1" x14ac:dyDescent="0.2">
      <c r="A71" t="s">
        <v>176</v>
      </c>
      <c r="B71" t="s">
        <v>177</v>
      </c>
      <c r="C71">
        <v>-4.0856987999999997E-2</v>
      </c>
      <c r="D71">
        <f t="shared" si="2"/>
        <v>4.0856987999999997E-2</v>
      </c>
      <c r="E71" t="b">
        <v>1</v>
      </c>
      <c r="F71" t="s">
        <v>8</v>
      </c>
    </row>
    <row r="72" spans="1:6" hidden="1" x14ac:dyDescent="0.2">
      <c r="A72" t="s">
        <v>174</v>
      </c>
      <c r="B72" t="s">
        <v>175</v>
      </c>
      <c r="C72">
        <v>-4.0184460999999998E-2</v>
      </c>
      <c r="D72">
        <f t="shared" si="2"/>
        <v>4.0184460999999998E-2</v>
      </c>
      <c r="E72" t="b">
        <v>1</v>
      </c>
      <c r="F72" t="s">
        <v>8</v>
      </c>
    </row>
    <row r="73" spans="1:6" x14ac:dyDescent="0.2">
      <c r="A73" t="s">
        <v>70</v>
      </c>
      <c r="B73" t="s">
        <v>71</v>
      </c>
      <c r="C73">
        <v>3.9942987999999999E-2</v>
      </c>
      <c r="D73">
        <f t="shared" si="2"/>
        <v>3.9942987999999999E-2</v>
      </c>
      <c r="E73" t="b">
        <v>0</v>
      </c>
    </row>
    <row r="74" spans="1:6" x14ac:dyDescent="0.2">
      <c r="A74" t="s">
        <v>72</v>
      </c>
      <c r="B74" t="s">
        <v>73</v>
      </c>
      <c r="C74">
        <v>3.9711785999999999E-2</v>
      </c>
      <c r="D74">
        <f t="shared" si="2"/>
        <v>3.9711785999999999E-2</v>
      </c>
      <c r="E74" t="b">
        <v>0</v>
      </c>
    </row>
    <row r="75" spans="1:6" hidden="1" x14ac:dyDescent="0.2">
      <c r="A75" t="s">
        <v>172</v>
      </c>
      <c r="B75" t="s">
        <v>173</v>
      </c>
      <c r="C75">
        <v>-3.8838932999999999E-2</v>
      </c>
      <c r="D75">
        <f t="shared" si="2"/>
        <v>3.8838932999999999E-2</v>
      </c>
      <c r="E75" t="b">
        <v>1</v>
      </c>
      <c r="F75" t="s">
        <v>8</v>
      </c>
    </row>
    <row r="76" spans="1:6" x14ac:dyDescent="0.2">
      <c r="A76" t="s">
        <v>170</v>
      </c>
      <c r="B76" t="s">
        <v>171</v>
      </c>
      <c r="C76">
        <v>-3.7434473000000003E-2</v>
      </c>
      <c r="D76">
        <f t="shared" si="2"/>
        <v>3.7434473000000003E-2</v>
      </c>
      <c r="E76" t="b">
        <v>0</v>
      </c>
    </row>
    <row r="77" spans="1:6" hidden="1" x14ac:dyDescent="0.2">
      <c r="A77" t="s">
        <v>168</v>
      </c>
      <c r="B77" t="s">
        <v>169</v>
      </c>
      <c r="C77">
        <v>-3.5857443000000003E-2</v>
      </c>
      <c r="D77">
        <f t="shared" si="2"/>
        <v>3.5857443000000003E-2</v>
      </c>
      <c r="E77" t="b">
        <v>1</v>
      </c>
      <c r="F77" t="s">
        <v>8</v>
      </c>
    </row>
    <row r="78" spans="1:6" x14ac:dyDescent="0.2">
      <c r="A78" t="s">
        <v>166</v>
      </c>
      <c r="B78" t="s">
        <v>167</v>
      </c>
      <c r="C78">
        <v>-3.4503697999999999E-2</v>
      </c>
      <c r="D78">
        <f t="shared" si="2"/>
        <v>3.4503697999999999E-2</v>
      </c>
      <c r="E78" t="b">
        <v>0</v>
      </c>
    </row>
    <row r="79" spans="1:6" x14ac:dyDescent="0.2">
      <c r="A79" t="s">
        <v>74</v>
      </c>
      <c r="B79" t="s">
        <v>75</v>
      </c>
      <c r="C79">
        <v>3.1998406E-2</v>
      </c>
      <c r="D79">
        <f t="shared" si="2"/>
        <v>3.1998406E-2</v>
      </c>
      <c r="E79" t="b">
        <v>0</v>
      </c>
    </row>
    <row r="80" spans="1:6" hidden="1" x14ac:dyDescent="0.2">
      <c r="A80" t="s">
        <v>164</v>
      </c>
      <c r="B80" t="s">
        <v>165</v>
      </c>
      <c r="C80">
        <v>-3.0076856999999999E-2</v>
      </c>
      <c r="D80">
        <f t="shared" si="2"/>
        <v>3.0076856999999999E-2</v>
      </c>
      <c r="E80" t="b">
        <v>1</v>
      </c>
      <c r="F80" t="s">
        <v>8</v>
      </c>
    </row>
    <row r="81" spans="1:6" hidden="1" x14ac:dyDescent="0.2">
      <c r="A81" t="s">
        <v>76</v>
      </c>
      <c r="B81" t="s">
        <v>77</v>
      </c>
      <c r="C81">
        <v>2.7368395E-2</v>
      </c>
      <c r="D81">
        <f t="shared" si="2"/>
        <v>2.7368395E-2</v>
      </c>
      <c r="E81" t="b">
        <v>1</v>
      </c>
      <c r="F81" t="s">
        <v>8</v>
      </c>
    </row>
    <row r="82" spans="1:6" hidden="1" x14ac:dyDescent="0.2">
      <c r="A82" t="s">
        <v>162</v>
      </c>
      <c r="B82" t="s">
        <v>163</v>
      </c>
      <c r="C82">
        <v>-2.7187583000000001E-2</v>
      </c>
      <c r="D82">
        <f t="shared" si="2"/>
        <v>2.7187583000000001E-2</v>
      </c>
      <c r="E82" t="b">
        <v>1</v>
      </c>
      <c r="F82" t="s">
        <v>8</v>
      </c>
    </row>
    <row r="83" spans="1:6" x14ac:dyDescent="0.2">
      <c r="A83" t="s">
        <v>160</v>
      </c>
      <c r="B83" t="s">
        <v>161</v>
      </c>
      <c r="C83">
        <v>-2.6303702000000002E-2</v>
      </c>
      <c r="D83">
        <f t="shared" si="2"/>
        <v>2.6303702000000002E-2</v>
      </c>
      <c r="E83" t="b">
        <v>0</v>
      </c>
    </row>
    <row r="84" spans="1:6" hidden="1" x14ac:dyDescent="0.2">
      <c r="A84" t="s">
        <v>78</v>
      </c>
      <c r="B84" t="s">
        <v>79</v>
      </c>
      <c r="C84">
        <v>2.5879955999999999E-2</v>
      </c>
      <c r="D84">
        <f t="shared" si="2"/>
        <v>2.5879955999999999E-2</v>
      </c>
      <c r="E84" t="b">
        <v>1</v>
      </c>
      <c r="F84" t="s">
        <v>8</v>
      </c>
    </row>
    <row r="85" spans="1:6" hidden="1" x14ac:dyDescent="0.2">
      <c r="A85" t="s">
        <v>80</v>
      </c>
      <c r="B85" t="s">
        <v>81</v>
      </c>
      <c r="C85">
        <v>2.4459821999999999E-2</v>
      </c>
      <c r="D85">
        <f t="shared" si="2"/>
        <v>2.4459821999999999E-2</v>
      </c>
      <c r="E85" t="b">
        <v>1</v>
      </c>
      <c r="F85" t="s">
        <v>8</v>
      </c>
    </row>
    <row r="86" spans="1:6" hidden="1" x14ac:dyDescent="0.2">
      <c r="A86" t="s">
        <v>158</v>
      </c>
      <c r="B86" t="s">
        <v>159</v>
      </c>
      <c r="C86">
        <v>-2.324439E-2</v>
      </c>
      <c r="D86">
        <f t="shared" si="2"/>
        <v>2.324439E-2</v>
      </c>
      <c r="E86" t="b">
        <v>1</v>
      </c>
      <c r="F86" t="s">
        <v>8</v>
      </c>
    </row>
    <row r="87" spans="1:6" x14ac:dyDescent="0.2">
      <c r="A87" t="s">
        <v>82</v>
      </c>
      <c r="B87" t="s">
        <v>83</v>
      </c>
      <c r="C87">
        <v>2.2684566999999999E-2</v>
      </c>
      <c r="D87">
        <f t="shared" si="2"/>
        <v>2.2684566999999999E-2</v>
      </c>
      <c r="E87" t="b">
        <v>0</v>
      </c>
    </row>
    <row r="88" spans="1:6" x14ac:dyDescent="0.2">
      <c r="A88" t="s">
        <v>156</v>
      </c>
      <c r="B88" t="s">
        <v>157</v>
      </c>
      <c r="C88">
        <v>-2.2684566999999999E-2</v>
      </c>
      <c r="D88">
        <f t="shared" si="2"/>
        <v>2.2684566999999999E-2</v>
      </c>
      <c r="E88" t="b">
        <v>0</v>
      </c>
    </row>
    <row r="89" spans="1:6" x14ac:dyDescent="0.2">
      <c r="A89" t="s">
        <v>84</v>
      </c>
      <c r="B89" t="s">
        <v>85</v>
      </c>
      <c r="C89">
        <v>2.1274273999999999E-2</v>
      </c>
      <c r="D89">
        <f t="shared" si="2"/>
        <v>2.1274273999999999E-2</v>
      </c>
      <c r="E89" t="b">
        <v>0</v>
      </c>
    </row>
    <row r="90" spans="1:6" x14ac:dyDescent="0.2">
      <c r="A90" t="s">
        <v>86</v>
      </c>
      <c r="B90" t="s">
        <v>87</v>
      </c>
      <c r="C90">
        <v>2.0228388E-2</v>
      </c>
      <c r="D90">
        <f t="shared" si="2"/>
        <v>2.0228388E-2</v>
      </c>
      <c r="E90" t="b">
        <v>0</v>
      </c>
    </row>
    <row r="91" spans="1:6" x14ac:dyDescent="0.2">
      <c r="A91" t="s">
        <v>88</v>
      </c>
      <c r="B91" t="s">
        <v>89</v>
      </c>
      <c r="C91">
        <v>2.0156690000000001E-2</v>
      </c>
      <c r="D91">
        <f t="shared" si="2"/>
        <v>2.0156690000000001E-2</v>
      </c>
      <c r="E91" t="b">
        <v>0</v>
      </c>
    </row>
    <row r="92" spans="1:6" x14ac:dyDescent="0.2">
      <c r="A92" t="s">
        <v>154</v>
      </c>
      <c r="B92" t="s">
        <v>155</v>
      </c>
      <c r="C92">
        <v>-1.9613352000000001E-2</v>
      </c>
      <c r="D92">
        <f t="shared" si="2"/>
        <v>1.9613352000000001E-2</v>
      </c>
      <c r="E92" t="b">
        <v>0</v>
      </c>
    </row>
    <row r="93" spans="1:6" hidden="1" x14ac:dyDescent="0.2">
      <c r="A93" t="s">
        <v>152</v>
      </c>
      <c r="B93" t="s">
        <v>153</v>
      </c>
      <c r="C93">
        <v>-1.8381527000000002E-2</v>
      </c>
      <c r="D93">
        <f t="shared" si="2"/>
        <v>1.8381527000000002E-2</v>
      </c>
      <c r="E93" t="b">
        <v>1</v>
      </c>
      <c r="F93" t="s">
        <v>8</v>
      </c>
    </row>
    <row r="94" spans="1:6" hidden="1" x14ac:dyDescent="0.2">
      <c r="A94" t="s">
        <v>150</v>
      </c>
      <c r="B94" t="s">
        <v>151</v>
      </c>
      <c r="C94">
        <v>-1.7507292000000001E-2</v>
      </c>
      <c r="D94">
        <f t="shared" si="2"/>
        <v>1.7507292000000001E-2</v>
      </c>
      <c r="E94" t="b">
        <v>1</v>
      </c>
      <c r="F94" t="s">
        <v>8</v>
      </c>
    </row>
    <row r="95" spans="1:6" hidden="1" x14ac:dyDescent="0.2">
      <c r="A95" t="s">
        <v>90</v>
      </c>
      <c r="B95" t="s">
        <v>91</v>
      </c>
      <c r="C95">
        <v>1.7289869999999999E-2</v>
      </c>
      <c r="D95">
        <f t="shared" si="2"/>
        <v>1.7289869999999999E-2</v>
      </c>
      <c r="E95" t="b">
        <v>1</v>
      </c>
      <c r="F95" t="s">
        <v>8</v>
      </c>
    </row>
    <row r="96" spans="1:6" x14ac:dyDescent="0.2">
      <c r="A96" t="s">
        <v>148</v>
      </c>
      <c r="B96" t="s">
        <v>149</v>
      </c>
      <c r="C96">
        <v>-1.7184439999999999E-2</v>
      </c>
      <c r="D96">
        <f t="shared" si="2"/>
        <v>1.7184439999999999E-2</v>
      </c>
      <c r="E96" t="b">
        <v>0</v>
      </c>
    </row>
    <row r="97" spans="1:6" x14ac:dyDescent="0.2">
      <c r="A97" t="s">
        <v>92</v>
      </c>
      <c r="B97" t="s">
        <v>93</v>
      </c>
      <c r="C97">
        <v>1.6546452E-2</v>
      </c>
      <c r="D97">
        <f t="shared" si="2"/>
        <v>1.6546452E-2</v>
      </c>
      <c r="E97" t="b">
        <v>0</v>
      </c>
    </row>
    <row r="98" spans="1:6" x14ac:dyDescent="0.2">
      <c r="A98" t="s">
        <v>146</v>
      </c>
      <c r="B98" t="s">
        <v>147</v>
      </c>
      <c r="C98">
        <v>-1.6337046000000001E-2</v>
      </c>
      <c r="D98">
        <f t="shared" ref="D98:D129" si="3">ABS(C98)</f>
        <v>1.6337046000000001E-2</v>
      </c>
      <c r="E98" t="b">
        <v>0</v>
      </c>
    </row>
    <row r="99" spans="1:6" x14ac:dyDescent="0.2">
      <c r="A99" t="s">
        <v>94</v>
      </c>
      <c r="B99" t="s">
        <v>95</v>
      </c>
      <c r="C99">
        <v>1.5682564E-2</v>
      </c>
      <c r="D99">
        <f t="shared" si="3"/>
        <v>1.5682564E-2</v>
      </c>
      <c r="E99" t="b">
        <v>0</v>
      </c>
    </row>
    <row r="100" spans="1:6" hidden="1" x14ac:dyDescent="0.2">
      <c r="A100" t="s">
        <v>144</v>
      </c>
      <c r="B100" t="s">
        <v>145</v>
      </c>
      <c r="C100">
        <v>-1.5376898999999999E-2</v>
      </c>
      <c r="D100">
        <f t="shared" si="3"/>
        <v>1.5376898999999999E-2</v>
      </c>
      <c r="E100" t="b">
        <v>1</v>
      </c>
      <c r="F100" t="s">
        <v>8</v>
      </c>
    </row>
    <row r="101" spans="1:6" hidden="1" x14ac:dyDescent="0.2">
      <c r="A101" t="s">
        <v>96</v>
      </c>
      <c r="B101" t="s">
        <v>97</v>
      </c>
      <c r="C101">
        <v>1.5339530000000001E-2</v>
      </c>
      <c r="D101">
        <f t="shared" si="3"/>
        <v>1.5339530000000001E-2</v>
      </c>
      <c r="E101" t="b">
        <v>1</v>
      </c>
      <c r="F101" t="s">
        <v>8</v>
      </c>
    </row>
    <row r="102" spans="1:6" x14ac:dyDescent="0.2">
      <c r="A102" t="s">
        <v>142</v>
      </c>
      <c r="B102" t="s">
        <v>143</v>
      </c>
      <c r="C102">
        <v>-1.4442228999999999E-2</v>
      </c>
      <c r="D102">
        <f t="shared" si="3"/>
        <v>1.4442228999999999E-2</v>
      </c>
      <c r="E102" t="b">
        <v>0</v>
      </c>
    </row>
    <row r="103" spans="1:6" x14ac:dyDescent="0.2">
      <c r="A103" t="s">
        <v>138</v>
      </c>
      <c r="B103" t="s">
        <v>139</v>
      </c>
      <c r="C103">
        <v>-1.4166761999999999E-2</v>
      </c>
      <c r="D103">
        <f t="shared" si="3"/>
        <v>1.4166761999999999E-2</v>
      </c>
      <c r="E103" t="b">
        <v>0</v>
      </c>
    </row>
    <row r="104" spans="1:6" x14ac:dyDescent="0.2">
      <c r="A104" t="s">
        <v>140</v>
      </c>
      <c r="B104" t="s">
        <v>141</v>
      </c>
      <c r="C104">
        <v>-1.4166761999999999E-2</v>
      </c>
      <c r="D104">
        <f t="shared" si="3"/>
        <v>1.4166761999999999E-2</v>
      </c>
      <c r="E104" t="b">
        <v>0</v>
      </c>
    </row>
    <row r="105" spans="1:6" hidden="1" x14ac:dyDescent="0.2">
      <c r="A105" t="s">
        <v>98</v>
      </c>
      <c r="B105" t="s">
        <v>99</v>
      </c>
      <c r="C105">
        <v>1.4043495E-2</v>
      </c>
      <c r="D105">
        <f t="shared" si="3"/>
        <v>1.4043495E-2</v>
      </c>
      <c r="E105" t="b">
        <v>1</v>
      </c>
      <c r="F105" t="s">
        <v>8</v>
      </c>
    </row>
    <row r="106" spans="1:6" hidden="1" x14ac:dyDescent="0.2">
      <c r="A106" t="s">
        <v>136</v>
      </c>
      <c r="B106" t="s">
        <v>137</v>
      </c>
      <c r="C106">
        <v>-1.2968215E-2</v>
      </c>
      <c r="D106">
        <f t="shared" si="3"/>
        <v>1.2968215E-2</v>
      </c>
      <c r="E106" t="b">
        <v>1</v>
      </c>
      <c r="F106" t="s">
        <v>8</v>
      </c>
    </row>
    <row r="107" spans="1:6" hidden="1" x14ac:dyDescent="0.2">
      <c r="A107" t="s">
        <v>100</v>
      </c>
      <c r="B107" t="s">
        <v>101</v>
      </c>
      <c r="C107">
        <v>1.2779863000000001E-2</v>
      </c>
      <c r="D107">
        <f t="shared" si="3"/>
        <v>1.2779863000000001E-2</v>
      </c>
      <c r="E107" t="b">
        <v>1</v>
      </c>
      <c r="F107" t="s">
        <v>8</v>
      </c>
    </row>
    <row r="108" spans="1:6" hidden="1" x14ac:dyDescent="0.2">
      <c r="A108" t="s">
        <v>102</v>
      </c>
      <c r="B108" t="s">
        <v>103</v>
      </c>
      <c r="C108">
        <v>9.6766590000000006E-3</v>
      </c>
      <c r="D108">
        <f t="shared" si="3"/>
        <v>9.6766590000000006E-3</v>
      </c>
      <c r="E108" t="b">
        <v>1</v>
      </c>
      <c r="F108" t="s">
        <v>8</v>
      </c>
    </row>
    <row r="109" spans="1:6" x14ac:dyDescent="0.2">
      <c r="A109" t="s">
        <v>134</v>
      </c>
      <c r="B109" t="s">
        <v>135</v>
      </c>
      <c r="C109">
        <v>-8.1300680000000007E-3</v>
      </c>
      <c r="D109">
        <f t="shared" si="3"/>
        <v>8.1300680000000007E-3</v>
      </c>
      <c r="E109" t="b">
        <v>0</v>
      </c>
    </row>
    <row r="110" spans="1:6" hidden="1" x14ac:dyDescent="0.2">
      <c r="A110" t="s">
        <v>132</v>
      </c>
      <c r="B110" t="s">
        <v>133</v>
      </c>
      <c r="C110">
        <v>-7.1086470000000001E-3</v>
      </c>
      <c r="D110">
        <f t="shared" si="3"/>
        <v>7.1086470000000001E-3</v>
      </c>
      <c r="E110" t="b">
        <v>1</v>
      </c>
      <c r="F110" t="s">
        <v>8</v>
      </c>
    </row>
    <row r="111" spans="1:6" x14ac:dyDescent="0.2">
      <c r="A111" t="s">
        <v>104</v>
      </c>
      <c r="B111" t="s">
        <v>105</v>
      </c>
      <c r="C111">
        <v>6.5481380000000002E-3</v>
      </c>
      <c r="D111">
        <f t="shared" si="3"/>
        <v>6.5481380000000002E-3</v>
      </c>
      <c r="E111" t="b">
        <v>0</v>
      </c>
    </row>
    <row r="112" spans="1:6" x14ac:dyDescent="0.2">
      <c r="A112" t="s">
        <v>128</v>
      </c>
      <c r="B112" t="s">
        <v>129</v>
      </c>
      <c r="C112">
        <v>-5.4218959999999998E-3</v>
      </c>
      <c r="D112">
        <f t="shared" si="3"/>
        <v>5.4218959999999998E-3</v>
      </c>
      <c r="E112" t="b">
        <v>0</v>
      </c>
    </row>
    <row r="113" spans="1:6" x14ac:dyDescent="0.2">
      <c r="A113" t="s">
        <v>130</v>
      </c>
      <c r="B113" t="s">
        <v>131</v>
      </c>
      <c r="C113">
        <v>-5.4218959999999998E-3</v>
      </c>
      <c r="D113">
        <f t="shared" si="3"/>
        <v>5.4218959999999998E-3</v>
      </c>
      <c r="E113" t="b">
        <v>0</v>
      </c>
    </row>
    <row r="114" spans="1:6" hidden="1" x14ac:dyDescent="0.2">
      <c r="A114" t="s">
        <v>106</v>
      </c>
      <c r="B114" t="s">
        <v>107</v>
      </c>
      <c r="C114">
        <v>5.1950659999999999E-3</v>
      </c>
      <c r="D114">
        <f t="shared" si="3"/>
        <v>5.1950659999999999E-3</v>
      </c>
      <c r="E114" t="b">
        <v>1</v>
      </c>
      <c r="F114" t="s">
        <v>8</v>
      </c>
    </row>
    <row r="115" spans="1:6" x14ac:dyDescent="0.2">
      <c r="A115" t="s">
        <v>108</v>
      </c>
      <c r="B115" t="s">
        <v>109</v>
      </c>
      <c r="C115">
        <v>4.5763610000000001E-3</v>
      </c>
      <c r="D115">
        <f t="shared" si="3"/>
        <v>4.5763610000000001E-3</v>
      </c>
      <c r="E115" t="b">
        <v>0</v>
      </c>
    </row>
    <row r="116" spans="1:6" x14ac:dyDescent="0.2">
      <c r="A116" t="s">
        <v>126</v>
      </c>
      <c r="B116" t="s">
        <v>127</v>
      </c>
      <c r="C116">
        <v>-4.5763610000000001E-3</v>
      </c>
      <c r="D116">
        <f t="shared" si="3"/>
        <v>4.5763610000000001E-3</v>
      </c>
      <c r="E116" t="b">
        <v>0</v>
      </c>
    </row>
    <row r="117" spans="1:6" x14ac:dyDescent="0.2">
      <c r="A117" t="s">
        <v>110</v>
      </c>
      <c r="B117" t="s">
        <v>111</v>
      </c>
      <c r="C117">
        <v>4.1450610000000002E-3</v>
      </c>
      <c r="D117">
        <f t="shared" si="3"/>
        <v>4.1450610000000002E-3</v>
      </c>
      <c r="E117" t="b">
        <v>0</v>
      </c>
    </row>
    <row r="118" spans="1:6" hidden="1" x14ac:dyDescent="0.2">
      <c r="A118" t="s">
        <v>112</v>
      </c>
      <c r="B118" t="s">
        <v>113</v>
      </c>
      <c r="C118">
        <v>3.016337E-3</v>
      </c>
      <c r="D118">
        <f t="shared" si="3"/>
        <v>3.016337E-3</v>
      </c>
      <c r="E118" t="b">
        <v>1</v>
      </c>
      <c r="F118" t="s">
        <v>8</v>
      </c>
    </row>
    <row r="119" spans="1:6" x14ac:dyDescent="0.2">
      <c r="A119" t="s">
        <v>114</v>
      </c>
      <c r="B119" t="s">
        <v>115</v>
      </c>
      <c r="C119">
        <v>2.8760109999999999E-3</v>
      </c>
      <c r="D119">
        <f t="shared" si="3"/>
        <v>2.8760109999999999E-3</v>
      </c>
      <c r="E119" t="b">
        <v>0</v>
      </c>
    </row>
    <row r="120" spans="1:6" x14ac:dyDescent="0.2">
      <c r="A120" t="s">
        <v>116</v>
      </c>
      <c r="B120" t="s">
        <v>117</v>
      </c>
      <c r="C120">
        <v>2.8729419999999999E-3</v>
      </c>
      <c r="D120">
        <f t="shared" si="3"/>
        <v>2.8729419999999999E-3</v>
      </c>
      <c r="E120" t="b">
        <v>0</v>
      </c>
    </row>
    <row r="121" spans="1:6" x14ac:dyDescent="0.2">
      <c r="A121" t="s">
        <v>118</v>
      </c>
      <c r="B121" t="s">
        <v>119</v>
      </c>
      <c r="C121">
        <v>2.8729419999999999E-3</v>
      </c>
      <c r="D121">
        <f t="shared" si="3"/>
        <v>2.8729419999999999E-3</v>
      </c>
      <c r="E121" t="b">
        <v>0</v>
      </c>
    </row>
    <row r="122" spans="1:6" x14ac:dyDescent="0.2">
      <c r="A122" t="s">
        <v>120</v>
      </c>
      <c r="B122" t="s">
        <v>121</v>
      </c>
      <c r="C122">
        <v>1.3683040000000001E-3</v>
      </c>
      <c r="D122">
        <f t="shared" si="3"/>
        <v>1.3683040000000001E-3</v>
      </c>
      <c r="E122" t="b">
        <v>0</v>
      </c>
    </row>
    <row r="123" spans="1:6" x14ac:dyDescent="0.2">
      <c r="A123" t="s">
        <v>122</v>
      </c>
      <c r="B123" t="s">
        <v>123</v>
      </c>
      <c r="C123">
        <v>1.3683040000000001E-3</v>
      </c>
      <c r="D123">
        <f t="shared" si="3"/>
        <v>1.3683040000000001E-3</v>
      </c>
      <c r="E123" t="b">
        <v>0</v>
      </c>
    </row>
    <row r="124" spans="1:6" x14ac:dyDescent="0.2">
      <c r="A124" t="s">
        <v>124</v>
      </c>
      <c r="B124" t="s">
        <v>125</v>
      </c>
      <c r="C124">
        <v>3.8638000000000002E-4</v>
      </c>
      <c r="D124">
        <f t="shared" si="3"/>
        <v>3.8638000000000002E-4</v>
      </c>
      <c r="E124" t="b">
        <v>0</v>
      </c>
    </row>
  </sheetData>
  <autoFilter ref="A1:G124" xr:uid="{00000000-0009-0000-0000-000000000000}">
    <filterColumn colId="4">
      <filters>
        <filter val="FALSE"/>
      </filters>
    </filterColumn>
    <sortState xmlns:xlrd2="http://schemas.microsoft.com/office/spreadsheetml/2017/richdata2" ref="A2:G124">
      <sortCondition descending="1" ref="D1:D124"/>
    </sortState>
  </autoFilter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CABG_5yr_baseline_review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Tsai, Jenny</dc:creator>
  <cp:lastModifiedBy>Tsai, Jenny</cp:lastModifiedBy>
  <dcterms:created xsi:type="dcterms:W3CDTF">2024-03-02T22:11:34Z</dcterms:created>
  <dcterms:modified xsi:type="dcterms:W3CDTF">2024-03-06T21:24:03Z</dcterms:modified>
</cp:coreProperties>
</file>